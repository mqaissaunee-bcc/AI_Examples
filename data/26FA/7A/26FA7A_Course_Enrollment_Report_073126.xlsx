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57720" yWindow="-120" windowWidth="29040" windowHeight="15720" tabRatio="600" firstSheet="0" activeTab="0" autoFilterDateGrouping="1"/>
  </bookViews>
  <sheets>
    <sheet name="Consolidated Sects All" sheetId="1" state="visible" r:id="rId1"/>
    <sheet name="Individual Sects All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9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b val="1"/>
      <color rgb="FF3F3F3F"/>
      <sz val="11"/>
      <scheme val="minor"/>
    </font>
    <font>
      <name val="Aptos Narrow"/>
      <family val="2"/>
      <b val="1"/>
      <color rgb="FFFA7D00"/>
      <sz val="11"/>
      <scheme val="minor"/>
    </font>
    <font>
      <name val="Aptos Narrow"/>
      <family val="2"/>
      <color rgb="FFFA7D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i val="1"/>
      <color rgb="FF7F7F7F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  <font>
      <name val="Aptos Narrow"/>
      <family val="2"/>
      <color rgb="FF000000"/>
      <sz val="11"/>
      <scheme val="minor"/>
    </font>
  </fonts>
  <fills count="36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FFC7CE"/>
        <bgColor indexed="64"/>
      </patternFill>
    </fill>
    <fill>
      <patternFill patternType="solid">
        <fgColor rgb="FFCEF8D8"/>
        <bgColor indexed="64"/>
      </patternFill>
    </fill>
    <fill>
      <patternFill patternType="solid">
        <fgColor rgb="FFF3F7C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3">
    <xf numFmtId="0" fontId="1" fillId="0" borderId="0"/>
    <xf numFmtId="9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12">
    <xf numFmtId="0" fontId="0" fillId="0" borderId="0" pivotButton="0" quotePrefix="0" xfId="0"/>
    <xf numFmtId="0" fontId="16" fillId="0" borderId="10" applyAlignment="1" pivotButton="0" quotePrefix="0" xfId="0">
      <alignment horizontal="center"/>
    </xf>
    <xf numFmtId="0" fontId="16" fillId="0" borderId="10" applyAlignment="1" pivotButton="0" quotePrefix="0" xfId="0">
      <alignment horizontal="center" wrapText="1"/>
    </xf>
    <xf numFmtId="164" fontId="16" fillId="0" borderId="10" applyAlignment="1" pivotButton="0" quotePrefix="0" xfId="0">
      <alignment horizontal="center" wrapText="1"/>
    </xf>
    <xf numFmtId="164" fontId="0" fillId="0" borderId="0" pivotButton="0" quotePrefix="0" xfId="0"/>
    <xf numFmtId="0" fontId="0" fillId="0" borderId="0" applyAlignment="1" pivotButton="0" quotePrefix="0" xfId="0">
      <alignment horizontal="center"/>
    </xf>
    <xf numFmtId="3" fontId="0" fillId="0" borderId="0" pivotButton="0" quotePrefix="0" xfId="0"/>
    <xf numFmtId="164" fontId="16" fillId="0" borderId="10" applyAlignment="1" pivotButton="0" quotePrefix="0" xfId="0">
      <alignment horizontal="center"/>
    </xf>
    <xf numFmtId="164" fontId="18" fillId="33" borderId="0" applyAlignment="1" pivotButton="0" quotePrefix="0" xfId="1">
      <alignment horizontal="right"/>
    </xf>
    <xf numFmtId="164" fontId="18" fillId="34" borderId="0" applyAlignment="1" pivotButton="0" quotePrefix="0" xfId="1">
      <alignment horizontal="right"/>
    </xf>
    <xf numFmtId="164" fontId="18" fillId="35" borderId="0" applyAlignment="1" pivotButton="0" quotePrefix="0" xfId="1">
      <alignment horizontal="right"/>
    </xf>
    <xf numFmtId="164" fontId="18" fillId="0" borderId="0" applyAlignment="1" pivotButton="0" quotePrefix="0" xfId="1">
      <alignment horizontal="right"/>
    </xf>
  </cellXfs>
  <cellStyles count="43">
    <cellStyle name="Normal" xfId="0" builtinId="0"/>
    <cellStyle name="Percent" xfId="1" builtinId="5"/>
    <cellStyle name="Title" xfId="2" builtinId="15"/>
    <cellStyle name="Heading 1" xfId="3" builtinId="16"/>
    <cellStyle name="Heading 2" xfId="4" builtinId="17"/>
    <cellStyle name="Heading 3" xfId="5" builtinId="18"/>
    <cellStyle name="Heading 4" xfId="6" builtinId="19"/>
    <cellStyle name="Good" xfId="7" builtinId="26"/>
    <cellStyle name="Bad" xfId="8" builtinId="27"/>
    <cellStyle name="Neutral" xfId="9" builtinId="28"/>
    <cellStyle name="Input" xfId="10" builtinId="20"/>
    <cellStyle name="Output" xfId="11" builtinId="21"/>
    <cellStyle name="Calculation" xfId="12" builtinId="22"/>
    <cellStyle name="Linked Cell" xfId="13" builtinId="24"/>
    <cellStyle name="Check Cell" xfId="14" builtinId="23"/>
    <cellStyle name="Warning Text" xfId="15" builtinId="11"/>
    <cellStyle name="Note" xfId="16" builtinId="10"/>
    <cellStyle name="Explanatory Text" xfId="17" builtinId="53"/>
    <cellStyle name="Total" xfId="18" builtinId="25"/>
    <cellStyle name="Accent1" xfId="19" builtinId="29"/>
    <cellStyle name="20% - Accent1" xfId="20" builtinId="30"/>
    <cellStyle name="40% - Accent1" xfId="21" builtinId="31"/>
    <cellStyle name="60% - Accent1" xfId="22" builtinId="32"/>
    <cellStyle name="Accent2" xfId="23" builtinId="33"/>
    <cellStyle name="20% - Accent2" xfId="24" builtinId="34"/>
    <cellStyle name="40% - Accent2" xfId="25" builtinId="35"/>
    <cellStyle name="60% - Accent2" xfId="26" builtinId="36"/>
    <cellStyle name="Accent3" xfId="27" builtinId="37"/>
    <cellStyle name="20% - Accent3" xfId="28" builtinId="38"/>
    <cellStyle name="40% - Accent3" xfId="29" builtinId="39"/>
    <cellStyle name="60% - Accent3" xfId="30" builtinId="40"/>
    <cellStyle name="Accent4" xfId="31" builtinId="41"/>
    <cellStyle name="20% - Accent4" xfId="32" builtinId="42"/>
    <cellStyle name="40% - Accent4" xfId="33" builtinId="43"/>
    <cellStyle name="60% - Accent4" xfId="34" builtinId="44"/>
    <cellStyle name="Accent5" xfId="35" builtinId="45"/>
    <cellStyle name="20% - Accent5" xfId="36" builtinId="46"/>
    <cellStyle name="40% - Accent5" xfId="37" builtinId="47"/>
    <cellStyle name="60% - Accent5" xfId="38" builtinId="48"/>
    <cellStyle name="Accent6" xfId="39" builtinId="49"/>
    <cellStyle name="20% - Accent6" xfId="40" builtinId="50"/>
    <cellStyle name="40% - Accent6" xfId="41" builtinId="51"/>
    <cellStyle name="60% - Accent6" xfId="42" builtinId="5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tabSelected="1" workbookViewId="0">
      <selection activeCell="L17" sqref="L17"/>
    </sheetView>
  </sheetViews>
  <sheetFormatPr baseColWidth="8" defaultRowHeight="14.5"/>
  <cols>
    <col width="8.7265625" customWidth="1" style="5" min="1" max="1"/>
    <col width="13.08984375" bestFit="1" customWidth="1" min="2" max="2"/>
    <col width="30.36328125" bestFit="1" customWidth="1" min="3" max="3"/>
    <col width="8.7265625" customWidth="1" style="5" min="4" max="4"/>
    <col width="13" customWidth="1" min="9" max="9"/>
  </cols>
  <sheetData>
    <row r="1" ht="29" customHeight="1">
      <c r="A1" s="1" t="inlineStr">
        <is>
          <t>Institute</t>
        </is>
      </c>
      <c r="B1" s="1" t="inlineStr">
        <is>
          <t>Course</t>
        </is>
      </c>
      <c r="C1" s="1" t="inlineStr">
        <is>
          <t>Course Title</t>
        </is>
      </c>
      <c r="D1" s="1" t="inlineStr">
        <is>
          <t>Location</t>
        </is>
      </c>
      <c r="E1" s="2" t="inlineStr">
        <is>
          <t>Section Count</t>
        </is>
      </c>
      <c r="F1" s="1" t="inlineStr">
        <is>
          <t>Capacity</t>
        </is>
      </c>
      <c r="G1" s="1" t="inlineStr">
        <is>
          <t>Students</t>
        </is>
      </c>
      <c r="H1" s="2" t="inlineStr">
        <is>
          <t>Available Seats</t>
        </is>
      </c>
      <c r="I1" s="7" t="inlineStr">
        <is>
          <t>Percent Full</t>
        </is>
      </c>
    </row>
    <row r="2">
      <c r="A2" s="5" t="inlineStr">
        <is>
          <t>HUMN</t>
        </is>
      </c>
      <c r="B2" t="inlineStr">
        <is>
          <t>ESL-011</t>
        </is>
      </c>
      <c r="C2" t="inlineStr">
        <is>
          <t>Academic ESL I</t>
        </is>
      </c>
      <c r="D2" s="5" t="inlineStr">
        <is>
          <t>LINC</t>
        </is>
      </c>
      <c r="E2" t="n">
        <v>2</v>
      </c>
      <c r="F2" t="n">
        <v>36</v>
      </c>
      <c r="G2" t="n">
        <v>21</v>
      </c>
      <c r="H2" t="n">
        <v>15</v>
      </c>
      <c r="I2" s="8">
        <f>(G2/F2)*100</f>
        <v/>
      </c>
    </row>
    <row r="3">
      <c r="A3" s="5" t="inlineStr">
        <is>
          <t>HUMN</t>
        </is>
      </c>
      <c r="B3" t="inlineStr">
        <is>
          <t>ESL-021</t>
        </is>
      </c>
      <c r="C3" t="inlineStr">
        <is>
          <t>Academic Intermediate ESL I</t>
        </is>
      </c>
      <c r="D3" s="5" t="inlineStr">
        <is>
          <t>LINC</t>
        </is>
      </c>
      <c r="E3" t="n">
        <v>2</v>
      </c>
      <c r="F3" t="n">
        <v>34</v>
      </c>
      <c r="G3" t="n">
        <v>24</v>
      </c>
      <c r="H3" t="n">
        <v>10</v>
      </c>
      <c r="I3" s="8">
        <f>(G3/F3)*100</f>
        <v/>
      </c>
    </row>
    <row r="4">
      <c r="A4" s="5" t="inlineStr">
        <is>
          <t>HUMN</t>
        </is>
      </c>
      <c r="B4" t="inlineStr">
        <is>
          <t>ESL-031</t>
        </is>
      </c>
      <c r="C4" t="inlineStr">
        <is>
          <t>Academic Advanced ESL I</t>
        </is>
      </c>
      <c r="D4" s="5" t="inlineStr">
        <is>
          <t>LINC</t>
        </is>
      </c>
      <c r="E4" t="n">
        <v>2</v>
      </c>
      <c r="F4" t="n">
        <v>34</v>
      </c>
      <c r="G4" t="n">
        <v>17</v>
      </c>
      <c r="H4" t="n">
        <v>17</v>
      </c>
      <c r="I4" s="9">
        <f>(G4/F4)*100</f>
        <v/>
      </c>
    </row>
    <row r="5">
      <c r="A5" s="5" t="inlineStr">
        <is>
          <t>HUMN</t>
        </is>
      </c>
      <c r="B5" t="inlineStr">
        <is>
          <t>MUTC-101</t>
        </is>
      </c>
      <c r="C5" t="inlineStr">
        <is>
          <t>Pro Tools® I</t>
        </is>
      </c>
      <c r="D5" s="5" t="inlineStr">
        <is>
          <t>LINC</t>
        </is>
      </c>
      <c r="E5" t="n">
        <v>1</v>
      </c>
      <c r="F5" t="n">
        <v>15</v>
      </c>
      <c r="G5" t="n">
        <v>15</v>
      </c>
      <c r="H5" t="n">
        <v>0</v>
      </c>
      <c r="I5" s="8">
        <f>(G5/F5)*100</f>
        <v/>
      </c>
    </row>
    <row r="6">
      <c r="A6" s="5" t="inlineStr">
        <is>
          <t>STEM</t>
        </is>
      </c>
      <c r="B6" t="inlineStr">
        <is>
          <t>COMP-128</t>
        </is>
      </c>
      <c r="C6" t="inlineStr">
        <is>
          <t>Fundamentals of Programming</t>
        </is>
      </c>
      <c r="D6" s="5" t="inlineStr">
        <is>
          <t>DE</t>
        </is>
      </c>
      <c r="E6" t="n">
        <v>1</v>
      </c>
      <c r="F6" t="n">
        <v>24</v>
      </c>
      <c r="G6" t="n">
        <v>12</v>
      </c>
      <c r="H6" t="n">
        <v>12</v>
      </c>
      <c r="I6" s="8">
        <f>(G6/F6)*100</f>
        <v/>
      </c>
    </row>
    <row r="7">
      <c r="A7" s="5" t="inlineStr">
        <is>
          <t>STEM</t>
        </is>
      </c>
      <c r="B7" t="inlineStr">
        <is>
          <t>COMP-181</t>
        </is>
      </c>
      <c r="C7" t="inlineStr">
        <is>
          <t>Programming with AI</t>
        </is>
      </c>
      <c r="D7" s="5" t="inlineStr">
        <is>
          <t>LINC</t>
        </is>
      </c>
      <c r="E7" t="n">
        <v>1</v>
      </c>
      <c r="F7" t="n">
        <v>24</v>
      </c>
      <c r="G7" t="n">
        <v>3</v>
      </c>
      <c r="H7" t="n">
        <v>21</v>
      </c>
      <c r="I7" s="8">
        <f>(G7/F7)*100</f>
        <v/>
      </c>
    </row>
    <row r="8">
      <c r="A8" s="5" t="inlineStr">
        <is>
          <t>STEM</t>
        </is>
      </c>
      <c r="B8" t="inlineStr">
        <is>
          <t>ENVR-107</t>
        </is>
      </c>
      <c r="C8" t="inlineStr">
        <is>
          <t>Environmental Science</t>
        </is>
      </c>
      <c r="D8" s="5" t="inlineStr">
        <is>
          <t>DE</t>
        </is>
      </c>
      <c r="E8" t="n">
        <v>1</v>
      </c>
      <c r="F8" t="n">
        <v>24</v>
      </c>
      <c r="G8" t="n">
        <v>2</v>
      </c>
      <c r="H8" t="n">
        <v>22</v>
      </c>
      <c r="I8" s="10">
        <f>(G8/F8)*100</f>
        <v/>
      </c>
    </row>
    <row r="9">
      <c r="A9" s="5" t="inlineStr">
        <is>
          <t>STEM</t>
        </is>
      </c>
      <c r="B9" t="inlineStr">
        <is>
          <t>MATH-021</t>
        </is>
      </c>
      <c r="C9" t="inlineStr">
        <is>
          <t>Introductory Algebra</t>
        </is>
      </c>
      <c r="D9" s="5" t="inlineStr">
        <is>
          <t>DE</t>
        </is>
      </c>
      <c r="E9" t="n">
        <v>1</v>
      </c>
      <c r="F9" t="n">
        <v>23</v>
      </c>
      <c r="G9" t="n">
        <v>5</v>
      </c>
      <c r="H9" t="n">
        <v>18</v>
      </c>
      <c r="I9" s="8">
        <f>(G9/F9)*100</f>
        <v/>
      </c>
    </row>
    <row r="10">
      <c r="A10" s="5" t="inlineStr">
        <is>
          <t>STEM</t>
        </is>
      </c>
      <c r="B10" t="inlineStr">
        <is>
          <t>MATH-152</t>
        </is>
      </c>
      <c r="C10" t="inlineStr">
        <is>
          <t>College Algebra &amp; Trigonometry</t>
        </is>
      </c>
      <c r="D10" s="5" t="inlineStr">
        <is>
          <t>LINC</t>
        </is>
      </c>
      <c r="E10" t="n">
        <v>1</v>
      </c>
      <c r="F10" t="n">
        <v>30</v>
      </c>
      <c r="G10" t="n">
        <v>7</v>
      </c>
      <c r="H10" t="n">
        <v>23</v>
      </c>
      <c r="I10" s="9">
        <f>(G10/F10)*100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4.5"/>
  <cols>
    <col width="8.7265625" customWidth="1" style="5" min="1" max="2"/>
    <col width="18.81640625" bestFit="1" customWidth="1" min="3" max="3"/>
    <col width="9" customWidth="1" min="4" max="4"/>
    <col width="30.36328125" bestFit="1" customWidth="1" min="5" max="5"/>
    <col width="8.7265625" customWidth="1" style="4" min="8" max="8"/>
    <col width="19.54296875" customWidth="1" style="5" min="10" max="10"/>
    <col width="20.6328125" customWidth="1" style="5" min="12" max="12"/>
    <col width="14.08984375" customWidth="1" style="4" min="13" max="13"/>
    <col width="23.7265625" customWidth="1" min="14" max="14"/>
    <col width="8.7265625" customWidth="1" style="5" min="15" max="15"/>
    <col width="8.7265625" customWidth="1" style="4" min="17" max="17"/>
    <col width="12.81640625" customWidth="1" min="18" max="18"/>
  </cols>
  <sheetData>
    <row r="1" ht="28.5" customHeight="1">
      <c r="A1" s="1" t="inlineStr">
        <is>
          <t>Institute</t>
        </is>
      </c>
      <c r="B1" s="1" t="inlineStr">
        <is>
          <t>Location</t>
        </is>
      </c>
      <c r="C1" s="1" t="inlineStr">
        <is>
          <t>Section</t>
        </is>
      </c>
      <c r="D1" s="1" t="inlineStr">
        <is>
          <t>Course</t>
        </is>
      </c>
      <c r="E1" s="1" t="inlineStr">
        <is>
          <t>Course Title</t>
        </is>
      </c>
      <c r="F1" s="1" t="inlineStr">
        <is>
          <t>Capacity</t>
        </is>
      </c>
      <c r="G1" s="2" t="inlineStr">
        <is>
          <t>Enrolled Students</t>
        </is>
      </c>
      <c r="H1" s="3" t="inlineStr">
        <is>
          <t>Section Fill %</t>
        </is>
      </c>
      <c r="I1" s="2" t="inlineStr">
        <is>
          <t>Avail Seats</t>
        </is>
      </c>
      <c r="J1" s="2" t="inlineStr">
        <is>
          <t>Section Start Time</t>
        </is>
      </c>
      <c r="K1" s="2" t="inlineStr">
        <is>
          <t>Start Block</t>
        </is>
      </c>
      <c r="L1" s="1" t="inlineStr">
        <is>
          <t>Meeting Days</t>
        </is>
      </c>
      <c r="M1" s="3" t="inlineStr">
        <is>
          <t>Total Student Credit Hours</t>
        </is>
      </c>
      <c r="N1" s="1" t="inlineStr">
        <is>
          <t>Instructor</t>
        </is>
      </c>
      <c r="O1" s="1" t="inlineStr">
        <is>
          <t>Term</t>
        </is>
      </c>
      <c r="P1" s="2" t="inlineStr">
        <is>
          <t>Wait List</t>
        </is>
      </c>
      <c r="Q1" s="3" t="inlineStr">
        <is>
          <t>Course Credit</t>
        </is>
      </c>
      <c r="R1" s="2" t="inlineStr">
        <is>
          <t>Maximum Course SCH</t>
        </is>
      </c>
    </row>
    <row r="2">
      <c r="A2" s="5" t="inlineStr">
        <is>
          <t>STEM</t>
        </is>
      </c>
      <c r="B2" s="5" t="inlineStr">
        <is>
          <t>DE</t>
        </is>
      </c>
      <c r="C2" t="inlineStr">
        <is>
          <t>COMP-128-DE01K</t>
        </is>
      </c>
      <c r="D2" t="inlineStr">
        <is>
          <t>COMP-128</t>
        </is>
      </c>
      <c r="E2" t="inlineStr">
        <is>
          <t>Fundamentals of Programming</t>
        </is>
      </c>
      <c r="F2" t="n">
        <v>24</v>
      </c>
      <c r="G2" t="n">
        <v>12</v>
      </c>
      <c r="H2" s="4" t="n">
        <v>50</v>
      </c>
      <c r="I2" t="n">
        <v>12</v>
      </c>
      <c r="J2" s="5" t="inlineStr"/>
      <c r="L2" s="5" t="inlineStr"/>
      <c r="M2" s="4" t="n">
        <v>12</v>
      </c>
      <c r="N2" t="inlineStr">
        <is>
          <t>Holl, K</t>
        </is>
      </c>
      <c r="O2" s="5" t="inlineStr">
        <is>
          <t>26FA7A</t>
        </is>
      </c>
      <c r="P2" t="n">
        <v>0</v>
      </c>
      <c r="Q2" s="4" t="n">
        <v>1</v>
      </c>
      <c r="R2" s="4">
        <f>(F2*Q2)</f>
        <v/>
      </c>
    </row>
    <row r="3">
      <c r="A3" s="5" t="inlineStr">
        <is>
          <t>STEM</t>
        </is>
      </c>
      <c r="B3" s="5" t="inlineStr">
        <is>
          <t>LINC</t>
        </is>
      </c>
      <c r="C3" t="inlineStr">
        <is>
          <t>COMP-181-200RL</t>
        </is>
      </c>
      <c r="D3" t="inlineStr">
        <is>
          <t>COMP-181</t>
        </is>
      </c>
      <c r="E3" t="inlineStr">
        <is>
          <t>Programming with AI</t>
        </is>
      </c>
      <c r="F3" t="n">
        <v>24</v>
      </c>
      <c r="G3" t="n">
        <v>3</v>
      </c>
      <c r="H3" s="4" t="n">
        <v>12.5</v>
      </c>
      <c r="I3" t="n">
        <v>21</v>
      </c>
      <c r="J3" s="5" t="inlineStr">
        <is>
          <t xml:space="preserve"> 6:00 PM</t>
        </is>
      </c>
      <c r="L3" s="5" t="inlineStr">
        <is>
          <t>TH</t>
        </is>
      </c>
      <c r="M3" s="4" t="n">
        <v>3</v>
      </c>
      <c r="N3" t="inlineStr">
        <is>
          <t>Squires, K</t>
        </is>
      </c>
      <c r="O3" s="5" t="inlineStr">
        <is>
          <t>26FA7A</t>
        </is>
      </c>
      <c r="P3" t="n">
        <v>0</v>
      </c>
      <c r="Q3" s="4" t="n">
        <v>1</v>
      </c>
      <c r="R3" s="4">
        <f>(F3*Q3)</f>
        <v/>
      </c>
    </row>
    <row r="4">
      <c r="A4" s="5" t="inlineStr">
        <is>
          <t>STEM</t>
        </is>
      </c>
      <c r="B4" s="5" t="inlineStr">
        <is>
          <t>DE</t>
        </is>
      </c>
      <c r="C4" t="inlineStr">
        <is>
          <t>ENVR-107-DE01K</t>
        </is>
      </c>
      <c r="D4" t="inlineStr">
        <is>
          <t>ENVR-107</t>
        </is>
      </c>
      <c r="E4" t="inlineStr">
        <is>
          <t>Environmental Science</t>
        </is>
      </c>
      <c r="F4" t="n">
        <v>24</v>
      </c>
      <c r="G4" t="n">
        <v>2</v>
      </c>
      <c r="H4" s="4" t="n">
        <v>8.300000000000001</v>
      </c>
      <c r="I4" t="n">
        <v>22</v>
      </c>
      <c r="J4" s="5" t="inlineStr"/>
      <c r="L4" s="5" t="inlineStr"/>
      <c r="M4" s="4" t="n">
        <v>8</v>
      </c>
      <c r="N4" t="inlineStr">
        <is>
          <t>Goulet, J</t>
        </is>
      </c>
      <c r="O4" s="5" t="inlineStr">
        <is>
          <t>26FA7A</t>
        </is>
      </c>
      <c r="P4" t="n">
        <v>0</v>
      </c>
      <c r="Q4" s="4" t="n">
        <v>4</v>
      </c>
      <c r="R4" s="4">
        <f>(F4*Q4)</f>
        <v/>
      </c>
    </row>
    <row r="5">
      <c r="A5" s="5" t="inlineStr">
        <is>
          <t>HUMN</t>
        </is>
      </c>
      <c r="B5" s="5" t="inlineStr">
        <is>
          <t>LINC</t>
        </is>
      </c>
      <c r="C5" t="inlineStr">
        <is>
          <t>ESL-011-201SL</t>
        </is>
      </c>
      <c r="D5" t="inlineStr">
        <is>
          <t>ESL-011</t>
        </is>
      </c>
      <c r="E5" t="inlineStr">
        <is>
          <t>Academic ESL I</t>
        </is>
      </c>
      <c r="F5" t="n">
        <v>18</v>
      </c>
      <c r="G5" t="n">
        <v>17</v>
      </c>
      <c r="H5" s="4" t="n">
        <v>94.40000000000001</v>
      </c>
      <c r="I5" t="n">
        <v>1</v>
      </c>
      <c r="J5" s="5" t="inlineStr">
        <is>
          <t xml:space="preserve"> 10:00 AM</t>
        </is>
      </c>
      <c r="L5" s="5" t="inlineStr">
        <is>
          <t>M W</t>
        </is>
      </c>
      <c r="M5" s="4" t="n">
        <v>51</v>
      </c>
      <c r="O5" s="5" t="inlineStr">
        <is>
          <t>26FA7A</t>
        </is>
      </c>
      <c r="P5" t="n">
        <v>0</v>
      </c>
      <c r="Q5" s="4" t="n">
        <v>3</v>
      </c>
      <c r="R5" s="4">
        <f>(F5*Q5)</f>
        <v/>
      </c>
    </row>
    <row r="6">
      <c r="A6" s="5" t="inlineStr">
        <is>
          <t>HUMN</t>
        </is>
      </c>
      <c r="B6" s="5" t="inlineStr">
        <is>
          <t>LINC</t>
        </is>
      </c>
      <c r="C6" t="inlineStr">
        <is>
          <t>ESL-011-202SL</t>
        </is>
      </c>
      <c r="D6" t="inlineStr">
        <is>
          <t>ESL-011</t>
        </is>
      </c>
      <c r="E6" t="inlineStr">
        <is>
          <t>Academic ESL I</t>
        </is>
      </c>
      <c r="F6" t="n">
        <v>18</v>
      </c>
      <c r="G6" t="n">
        <v>4</v>
      </c>
      <c r="H6" s="4" t="n">
        <v>22.2</v>
      </c>
      <c r="I6" t="n">
        <v>14</v>
      </c>
      <c r="J6" s="5" t="inlineStr">
        <is>
          <t xml:space="preserve"> 6:00 PM</t>
        </is>
      </c>
      <c r="L6" s="5" t="inlineStr">
        <is>
          <t>M W</t>
        </is>
      </c>
      <c r="M6" s="4" t="n">
        <v>12</v>
      </c>
      <c r="O6" s="5" t="inlineStr">
        <is>
          <t>26FA7A</t>
        </is>
      </c>
      <c r="P6" t="n">
        <v>0</v>
      </c>
      <c r="Q6" s="4" t="n">
        <v>3</v>
      </c>
      <c r="R6" s="4">
        <f>(F6*Q6)</f>
        <v/>
      </c>
    </row>
    <row r="7">
      <c r="A7" s="5" t="inlineStr">
        <is>
          <t>HUMN</t>
        </is>
      </c>
      <c r="B7" s="5" t="inlineStr">
        <is>
          <t>LINC</t>
        </is>
      </c>
      <c r="C7" t="inlineStr">
        <is>
          <t>ESL-021-200SL</t>
        </is>
      </c>
      <c r="D7" t="inlineStr">
        <is>
          <t>ESL-021</t>
        </is>
      </c>
      <c r="E7" t="inlineStr">
        <is>
          <t>Academic Intermediate ESL I</t>
        </is>
      </c>
      <c r="F7" t="n">
        <v>16</v>
      </c>
      <c r="G7" t="n">
        <v>16</v>
      </c>
      <c r="H7" s="4" t="n">
        <v>100</v>
      </c>
      <c r="I7" t="n">
        <v>0</v>
      </c>
      <c r="J7" s="5" t="inlineStr">
        <is>
          <t xml:space="preserve"> 10:00 AM</t>
        </is>
      </c>
      <c r="L7" s="5" t="inlineStr">
        <is>
          <t>M W</t>
        </is>
      </c>
      <c r="M7" s="4" t="n">
        <v>48</v>
      </c>
      <c r="O7" s="5" t="inlineStr">
        <is>
          <t>26FA7A</t>
        </is>
      </c>
      <c r="P7" t="n">
        <v>2</v>
      </c>
      <c r="Q7" s="4" t="n">
        <v>3</v>
      </c>
      <c r="R7" s="4">
        <f>(F7*Q7)</f>
        <v/>
      </c>
    </row>
    <row r="8">
      <c r="A8" s="5" t="inlineStr">
        <is>
          <t>HUMN</t>
        </is>
      </c>
      <c r="B8" s="5" t="inlineStr">
        <is>
          <t>LINC</t>
        </is>
      </c>
      <c r="C8" t="inlineStr">
        <is>
          <t>ESL-021-202SL</t>
        </is>
      </c>
      <c r="D8" t="inlineStr">
        <is>
          <t>ESL-021</t>
        </is>
      </c>
      <c r="E8" t="inlineStr">
        <is>
          <t>Academic Intermediate ESL I</t>
        </is>
      </c>
      <c r="F8" t="n">
        <v>18</v>
      </c>
      <c r="G8" t="n">
        <v>8</v>
      </c>
      <c r="H8" s="4" t="n">
        <v>44.4</v>
      </c>
      <c r="I8" t="n">
        <v>10</v>
      </c>
      <c r="J8" s="5" t="inlineStr">
        <is>
          <t xml:space="preserve"> 6:00 PM</t>
        </is>
      </c>
      <c r="L8" s="5" t="inlineStr">
        <is>
          <t>M W</t>
        </is>
      </c>
      <c r="M8" s="4" t="n">
        <v>24</v>
      </c>
      <c r="O8" s="5" t="inlineStr">
        <is>
          <t>26FA7A</t>
        </is>
      </c>
      <c r="P8" t="n">
        <v>0</v>
      </c>
      <c r="Q8" s="4" t="n">
        <v>3</v>
      </c>
      <c r="R8" s="4">
        <f>(F8*Q8)</f>
        <v/>
      </c>
    </row>
    <row r="9">
      <c r="A9" s="5" t="inlineStr">
        <is>
          <t>HUMN</t>
        </is>
      </c>
      <c r="B9" s="5" t="inlineStr">
        <is>
          <t>LINC</t>
        </is>
      </c>
      <c r="C9" t="inlineStr">
        <is>
          <t>ESL-031-200SL</t>
        </is>
      </c>
      <c r="D9" t="inlineStr">
        <is>
          <t>ESL-031</t>
        </is>
      </c>
      <c r="E9" t="inlineStr">
        <is>
          <t>Academic Advanced ESL I</t>
        </is>
      </c>
      <c r="F9" t="n">
        <v>18</v>
      </c>
      <c r="G9" t="n">
        <v>10</v>
      </c>
      <c r="H9" s="4" t="n">
        <v>55.6</v>
      </c>
      <c r="I9" t="n">
        <v>8</v>
      </c>
      <c r="J9" s="5" t="inlineStr">
        <is>
          <t xml:space="preserve"> 10:00 AM</t>
        </is>
      </c>
      <c r="L9" s="5" t="inlineStr">
        <is>
          <t>M W</t>
        </is>
      </c>
      <c r="M9" s="4" t="n">
        <v>30</v>
      </c>
      <c r="O9" s="5" t="inlineStr">
        <is>
          <t>26FA7A</t>
        </is>
      </c>
      <c r="P9" t="n">
        <v>0</v>
      </c>
      <c r="Q9" s="4" t="n">
        <v>3</v>
      </c>
      <c r="R9" s="4">
        <f>(F9*Q9)</f>
        <v/>
      </c>
    </row>
    <row r="10">
      <c r="A10" s="5" t="inlineStr">
        <is>
          <t>HUMN</t>
        </is>
      </c>
      <c r="B10" s="5" t="inlineStr">
        <is>
          <t>LINC</t>
        </is>
      </c>
      <c r="C10" t="inlineStr">
        <is>
          <t>ESL-031-202SL</t>
        </is>
      </c>
      <c r="D10" t="inlineStr">
        <is>
          <t>ESL-031</t>
        </is>
      </c>
      <c r="E10" t="inlineStr">
        <is>
          <t>Academic Advanced ESL I</t>
        </is>
      </c>
      <c r="F10" t="n">
        <v>16</v>
      </c>
      <c r="G10" t="n">
        <v>7</v>
      </c>
      <c r="H10" s="4" t="n">
        <v>43.8</v>
      </c>
      <c r="I10" t="n">
        <v>9</v>
      </c>
      <c r="J10" s="5" t="inlineStr">
        <is>
          <t xml:space="preserve"> 6:00 PM</t>
        </is>
      </c>
      <c r="L10" s="5" t="inlineStr">
        <is>
          <t>M W</t>
        </is>
      </c>
      <c r="M10" s="4" t="n">
        <v>21</v>
      </c>
      <c r="O10" s="5" t="inlineStr">
        <is>
          <t>26FA7A</t>
        </is>
      </c>
      <c r="P10" t="n">
        <v>0</v>
      </c>
      <c r="Q10" s="4" t="n">
        <v>3</v>
      </c>
      <c r="R10" s="4">
        <f>(F10*Q10)</f>
        <v/>
      </c>
    </row>
    <row r="11">
      <c r="A11" s="5" t="inlineStr">
        <is>
          <t>STEM</t>
        </is>
      </c>
      <c r="B11" s="5" t="inlineStr">
        <is>
          <t>DE</t>
        </is>
      </c>
      <c r="C11" t="inlineStr">
        <is>
          <t>MATH-021-DE01K</t>
        </is>
      </c>
      <c r="D11" t="inlineStr">
        <is>
          <t>MATH-021</t>
        </is>
      </c>
      <c r="E11" t="inlineStr">
        <is>
          <t>Introductory Algebra</t>
        </is>
      </c>
      <c r="F11" t="n">
        <v>23</v>
      </c>
      <c r="G11" t="n">
        <v>5</v>
      </c>
      <c r="H11" s="4" t="n">
        <v>21.7</v>
      </c>
      <c r="I11" t="n">
        <v>18</v>
      </c>
      <c r="J11" s="5" t="inlineStr"/>
      <c r="L11" s="5" t="inlineStr"/>
      <c r="M11" s="4" t="n">
        <v>20</v>
      </c>
      <c r="N11" t="inlineStr">
        <is>
          <t>Tasy, A</t>
        </is>
      </c>
      <c r="O11" s="5" t="inlineStr">
        <is>
          <t>26FA7A</t>
        </is>
      </c>
      <c r="P11" t="n">
        <v>0</v>
      </c>
      <c r="Q11" s="4" t="n">
        <v>4</v>
      </c>
      <c r="R11" s="4">
        <f>(F11*Q11)</f>
        <v/>
      </c>
    </row>
    <row r="12">
      <c r="A12" s="5" t="inlineStr">
        <is>
          <t>STEM</t>
        </is>
      </c>
      <c r="B12" s="5" t="inlineStr">
        <is>
          <t>LINC</t>
        </is>
      </c>
      <c r="C12" t="inlineStr">
        <is>
          <t>MATH-152-201ML</t>
        </is>
      </c>
      <c r="D12" t="inlineStr">
        <is>
          <t>MATH-152</t>
        </is>
      </c>
      <c r="E12" t="inlineStr">
        <is>
          <t>College Algebra &amp; Trigonometry</t>
        </is>
      </c>
      <c r="F12" t="n">
        <v>30</v>
      </c>
      <c r="G12" t="n">
        <v>7</v>
      </c>
      <c r="H12" s="4" t="n">
        <v>23.3</v>
      </c>
      <c r="I12" t="n">
        <v>23</v>
      </c>
      <c r="J12" s="5" t="inlineStr">
        <is>
          <t xml:space="preserve"> 9:00 AM</t>
        </is>
      </c>
      <c r="L12" s="5" t="inlineStr">
        <is>
          <t>T TH</t>
        </is>
      </c>
      <c r="M12" s="4" t="n">
        <v>28</v>
      </c>
      <c r="N12" t="inlineStr">
        <is>
          <t>Lopez, D</t>
        </is>
      </c>
      <c r="O12" s="5" t="inlineStr">
        <is>
          <t>26FA7A</t>
        </is>
      </c>
      <c r="P12" t="n">
        <v>0</v>
      </c>
      <c r="Q12" s="4" t="n">
        <v>4</v>
      </c>
      <c r="R12" s="4">
        <f>(F12*Q12)</f>
        <v/>
      </c>
    </row>
    <row r="13">
      <c r="A13" s="5" t="inlineStr">
        <is>
          <t>HUMN</t>
        </is>
      </c>
      <c r="B13" s="5" t="inlineStr">
        <is>
          <t>LINC</t>
        </is>
      </c>
      <c r="C13" t="inlineStr">
        <is>
          <t>MUTC-101-200RL</t>
        </is>
      </c>
      <c r="D13" t="inlineStr">
        <is>
          <t>MUTC-101</t>
        </is>
      </c>
      <c r="E13" t="inlineStr">
        <is>
          <t>Pro Tools® I</t>
        </is>
      </c>
      <c r="F13" t="n">
        <v>15</v>
      </c>
      <c r="G13" t="n">
        <v>15</v>
      </c>
      <c r="H13" s="4" t="n">
        <v>100</v>
      </c>
      <c r="I13" t="n">
        <v>0</v>
      </c>
      <c r="J13" s="5" t="inlineStr">
        <is>
          <t xml:space="preserve"> 3:00 PM</t>
        </is>
      </c>
      <c r="L13" s="5" t="inlineStr">
        <is>
          <t>M W</t>
        </is>
      </c>
      <c r="M13" s="4" t="n">
        <v>45</v>
      </c>
      <c r="N13" t="inlineStr">
        <is>
          <t>Slater, F</t>
        </is>
      </c>
      <c r="O13" s="5" t="inlineStr">
        <is>
          <t>26FA7A</t>
        </is>
      </c>
      <c r="P13" t="n">
        <v>1</v>
      </c>
      <c r="Q13" s="4" t="n">
        <v>3</v>
      </c>
      <c r="R13" s="4">
        <f>(F13*Q13)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Laura Longo</dc:creator>
  <dcterms:created xsi:type="dcterms:W3CDTF">2026-05-14T22:47:03Z</dcterms:created>
  <dcterms:modified xsi:type="dcterms:W3CDTF">2026-07-31T13:12:40Z</dcterms:modified>
  <cp:lastModifiedBy>Laura Longo</cp:lastModifiedBy>
</cp:coreProperties>
</file>