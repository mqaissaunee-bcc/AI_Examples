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57720" yWindow="-120" windowWidth="29040" windowHeight="15720" tabRatio="600" firstSheet="0" activeTab="0" autoFilterDateGrouping="1"/>
  </bookViews>
  <sheets>
    <sheet name="Consolidated Sects All" sheetId="1" state="visible" r:id="rId1"/>
    <sheet name="Individual Sects All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1"/>
      <scheme val="minor"/>
    </font>
    <font>
      <name val="Aptos Narrow"/>
      <family val="2"/>
      <color rgb="FF9C0006"/>
      <sz val="11"/>
      <scheme val="minor"/>
    </font>
    <font>
      <name val="Aptos Narrow"/>
      <family val="2"/>
      <color rgb="FF9C5700"/>
      <sz val="11"/>
      <scheme val="minor"/>
    </font>
    <font>
      <name val="Aptos Narrow"/>
      <family val="2"/>
      <color rgb="FF3F3F76"/>
      <sz val="11"/>
      <scheme val="minor"/>
    </font>
    <font>
      <name val="Aptos Narrow"/>
      <family val="2"/>
      <b val="1"/>
      <color rgb="FF3F3F3F"/>
      <sz val="11"/>
      <scheme val="minor"/>
    </font>
    <font>
      <name val="Aptos Narrow"/>
      <family val="2"/>
      <b val="1"/>
      <color rgb="FFFA7D00"/>
      <sz val="11"/>
      <scheme val="minor"/>
    </font>
    <font>
      <name val="Aptos Narrow"/>
      <family val="2"/>
      <color rgb="FFFA7D00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color rgb="FFFF0000"/>
      <sz val="11"/>
      <scheme val="minor"/>
    </font>
    <font>
      <name val="Aptos Narrow"/>
      <family val="2"/>
      <i val="1"/>
      <color rgb="FF7F7F7F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color theme="0"/>
      <sz val="11"/>
      <scheme val="minor"/>
    </font>
    <font>
      <name val="Aptos Narrow"/>
      <family val="2"/>
      <color rgb="FF000000"/>
      <sz val="11"/>
      <scheme val="minor"/>
    </font>
  </fonts>
  <fills count="36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rgb="FFFFC7CE"/>
        <bgColor indexed="64"/>
      </patternFill>
    </fill>
    <fill>
      <patternFill patternType="solid">
        <fgColor rgb="FFCEF8D8"/>
        <bgColor indexed="64"/>
      </patternFill>
    </fill>
    <fill>
      <patternFill patternType="solid">
        <fgColor rgb="FFF3F7C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</borders>
  <cellStyleXfs count="43">
    <xf numFmtId="0" fontId="1" fillId="0" borderId="0"/>
    <xf numFmtId="9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6">
    <xf numFmtId="0" fontId="0" fillId="0" borderId="0" pivotButton="0" quotePrefix="0" xfId="0"/>
    <xf numFmtId="0" fontId="16" fillId="0" borderId="10" applyAlignment="1" pivotButton="0" quotePrefix="0" xfId="0">
      <alignment horizontal="center"/>
    </xf>
    <xf numFmtId="0" fontId="16" fillId="0" borderId="10" applyAlignment="1" pivotButton="0" quotePrefix="0" xfId="0">
      <alignment horizontal="center" wrapText="1"/>
    </xf>
    <xf numFmtId="164" fontId="16" fillId="0" borderId="10" applyAlignment="1" pivotButton="0" quotePrefix="0" xfId="0">
      <alignment horizontal="center" wrapText="1"/>
    </xf>
    <xf numFmtId="164" fontId="0" fillId="0" borderId="0" pivotButton="0" quotePrefix="0" xfId="0"/>
    <xf numFmtId="0" fontId="0" fillId="0" borderId="0" applyAlignment="1" pivotButton="0" quotePrefix="0" xfId="0">
      <alignment horizontal="center"/>
    </xf>
    <xf numFmtId="3" fontId="0" fillId="0" borderId="0" pivotButton="0" quotePrefix="0" xfId="0"/>
    <xf numFmtId="164" fontId="16" fillId="0" borderId="10" applyAlignment="1" pivotButton="0" quotePrefix="0" xfId="0">
      <alignment horizontal="center"/>
    </xf>
    <xf numFmtId="164" fontId="18" fillId="33" borderId="0" applyAlignment="1" pivotButton="0" quotePrefix="0" xfId="1">
      <alignment horizontal="right"/>
    </xf>
    <xf numFmtId="164" fontId="18" fillId="34" borderId="0" applyAlignment="1" pivotButton="0" quotePrefix="0" xfId="1">
      <alignment horizontal="right"/>
    </xf>
    <xf numFmtId="164" fontId="18" fillId="35" borderId="0" applyAlignment="1" pivotButton="0" quotePrefix="0" xfId="1">
      <alignment horizontal="right"/>
    </xf>
    <xf numFmtId="164" fontId="18" fillId="0" borderId="0" applyAlignment="1" pivotButton="0" quotePrefix="0" xfId="1">
      <alignment horizontal="right"/>
    </xf>
    <xf numFmtId="0" fontId="16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0" pivotButton="0" quotePrefix="0" xfId="0"/>
    <xf numFmtId="164" fontId="1" fillId="0" borderId="0" pivotButton="0" quotePrefix="0" xfId="0"/>
  </cellXfs>
  <cellStyles count="43">
    <cellStyle name="Normal" xfId="0" builtinId="0"/>
    <cellStyle name="Percent" xfId="1" builtinId="5"/>
    <cellStyle name="Title" xfId="2" builtinId="15"/>
    <cellStyle name="Heading 1" xfId="3" builtinId="16"/>
    <cellStyle name="Heading 2" xfId="4" builtinId="17"/>
    <cellStyle name="Heading 3" xfId="5" builtinId="18"/>
    <cellStyle name="Heading 4" xfId="6" builtinId="19"/>
    <cellStyle name="Good" xfId="7" builtinId="26"/>
    <cellStyle name="Bad" xfId="8" builtinId="27"/>
    <cellStyle name="Neutral" xfId="9" builtinId="28"/>
    <cellStyle name="Input" xfId="10" builtinId="20"/>
    <cellStyle name="Output" xfId="11" builtinId="21"/>
    <cellStyle name="Calculation" xfId="12" builtinId="22"/>
    <cellStyle name="Linked Cell" xfId="13" builtinId="24"/>
    <cellStyle name="Check Cell" xfId="14" builtinId="23"/>
    <cellStyle name="Warning Text" xfId="15" builtinId="11"/>
    <cellStyle name="Note" xfId="16" builtinId="10"/>
    <cellStyle name="Explanatory Text" xfId="17" builtinId="53"/>
    <cellStyle name="Total" xfId="18" builtinId="25"/>
    <cellStyle name="Accent1" xfId="19" builtinId="29"/>
    <cellStyle name="20% - Accent1" xfId="20" builtinId="30"/>
    <cellStyle name="40% - Accent1" xfId="21" builtinId="31"/>
    <cellStyle name="60% - Accent1" xfId="22" builtinId="32"/>
    <cellStyle name="Accent2" xfId="23" builtinId="33"/>
    <cellStyle name="20% - Accent2" xfId="24" builtinId="34"/>
    <cellStyle name="40% - Accent2" xfId="25" builtinId="35"/>
    <cellStyle name="60% - Accent2" xfId="26" builtinId="36"/>
    <cellStyle name="Accent3" xfId="27" builtinId="37"/>
    <cellStyle name="20% - Accent3" xfId="28" builtinId="38"/>
    <cellStyle name="40% - Accent3" xfId="29" builtinId="39"/>
    <cellStyle name="60% - Accent3" xfId="30" builtinId="40"/>
    <cellStyle name="Accent4" xfId="31" builtinId="41"/>
    <cellStyle name="20% - Accent4" xfId="32" builtinId="42"/>
    <cellStyle name="40% - Accent4" xfId="33" builtinId="43"/>
    <cellStyle name="60% - Accent4" xfId="34" builtinId="44"/>
    <cellStyle name="Accent5" xfId="35" builtinId="45"/>
    <cellStyle name="20% - Accent5" xfId="36" builtinId="46"/>
    <cellStyle name="40% - Accent5" xfId="37" builtinId="47"/>
    <cellStyle name="60% - Accent5" xfId="38" builtinId="48"/>
    <cellStyle name="Accent6" xfId="39" builtinId="49"/>
    <cellStyle name="20% - Accent6" xfId="40" builtinId="50"/>
    <cellStyle name="40% - Accent6" xfId="41" builtinId="51"/>
    <cellStyle name="60% - Accent6" xfId="42" builtinId="5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tabSelected="1" workbookViewId="0">
      <selection activeCell="L17" sqref="L17"/>
    </sheetView>
  </sheetViews>
  <sheetFormatPr baseColWidth="8" defaultRowHeight="14.5"/>
  <cols>
    <col width="8.7265625" customWidth="1" style="5" min="1" max="1"/>
    <col width="13.08984375" bestFit="1" customWidth="1" min="2" max="2"/>
    <col width="30.36328125" bestFit="1" customWidth="1" min="3" max="3"/>
    <col width="8.7265625" customWidth="1" style="5" min="4" max="4"/>
    <col width="13" customWidth="1" min="9" max="9"/>
  </cols>
  <sheetData>
    <row r="1" ht="29" customHeight="1">
      <c r="A1" s="1" t="inlineStr">
        <is>
          <t>Institute</t>
        </is>
      </c>
      <c r="B1" s="1" t="inlineStr">
        <is>
          <t>Course</t>
        </is>
      </c>
      <c r="C1" s="1" t="inlineStr">
        <is>
          <t>Course Title</t>
        </is>
      </c>
      <c r="D1" s="1" t="inlineStr">
        <is>
          <t>Location</t>
        </is>
      </c>
      <c r="E1" s="2" t="inlineStr">
        <is>
          <t>Section Count</t>
        </is>
      </c>
      <c r="F1" s="1" t="inlineStr">
        <is>
          <t>Capacity</t>
        </is>
      </c>
      <c r="G1" s="1" t="inlineStr">
        <is>
          <t>Students</t>
        </is>
      </c>
      <c r="H1" s="2" t="inlineStr">
        <is>
          <t>Available Seats</t>
        </is>
      </c>
      <c r="I1" s="7" t="inlineStr">
        <is>
          <t>Percent Full</t>
        </is>
      </c>
    </row>
    <row r="2">
      <c r="A2" s="5" t="inlineStr">
        <is>
          <t>BUSS</t>
        </is>
      </c>
      <c r="B2" t="inlineStr">
        <is>
          <t>MRKT-101</t>
        </is>
      </c>
      <c r="C2" t="inlineStr">
        <is>
          <t>Intro. to Marketing</t>
        </is>
      </c>
      <c r="D2" s="5" t="inlineStr">
        <is>
          <t>DE</t>
        </is>
      </c>
      <c r="E2" t="n">
        <v>1</v>
      </c>
      <c r="F2" t="n">
        <v>30</v>
      </c>
      <c r="G2" t="n">
        <v>2</v>
      </c>
      <c r="H2" t="n">
        <v>28</v>
      </c>
      <c r="I2" s="8">
        <f>(G2/F2)*100</f>
        <v/>
      </c>
    </row>
    <row r="3">
      <c r="A3" s="5" t="inlineStr">
        <is>
          <t>EAI</t>
        </is>
      </c>
      <c r="B3" t="inlineStr">
        <is>
          <t>CINE-105</t>
        </is>
      </c>
      <c r="C3" t="inlineStr">
        <is>
          <t>Film Appreciation</t>
        </is>
      </c>
      <c r="D3" s="5" t="inlineStr">
        <is>
          <t>DE</t>
        </is>
      </c>
      <c r="E3" t="n">
        <v>1</v>
      </c>
      <c r="F3" t="n">
        <v>30</v>
      </c>
      <c r="G3" t="n">
        <v>1</v>
      </c>
      <c r="H3" t="n">
        <v>29</v>
      </c>
      <c r="I3" s="8">
        <f>(G3/F3)*100</f>
        <v/>
      </c>
    </row>
    <row r="4">
      <c r="A4" s="5" t="inlineStr">
        <is>
          <t>HUMN</t>
        </is>
      </c>
      <c r="B4" t="inlineStr">
        <is>
          <t>ESL-012</t>
        </is>
      </c>
      <c r="C4" t="inlineStr">
        <is>
          <t>Academic ESL II</t>
        </is>
      </c>
      <c r="D4" s="5" t="inlineStr">
        <is>
          <t>LINC</t>
        </is>
      </c>
      <c r="E4" t="n">
        <v>3</v>
      </c>
      <c r="F4" t="n">
        <v>54</v>
      </c>
      <c r="G4" t="n">
        <v>31</v>
      </c>
      <c r="H4" t="n">
        <v>23</v>
      </c>
      <c r="I4" s="9">
        <f>(G4/F4)*100</f>
        <v/>
      </c>
    </row>
    <row r="5">
      <c r="A5" s="5" t="inlineStr">
        <is>
          <t>HUMN</t>
        </is>
      </c>
      <c r="B5" t="inlineStr">
        <is>
          <t>ESL-022</t>
        </is>
      </c>
      <c r="C5" t="inlineStr">
        <is>
          <t>Academic Intermediate ESL II</t>
        </is>
      </c>
      <c r="D5" s="5" t="inlineStr">
        <is>
          <t>LINC</t>
        </is>
      </c>
      <c r="E5" t="n">
        <v>3</v>
      </c>
      <c r="F5" t="n">
        <v>52</v>
      </c>
      <c r="G5" t="n">
        <v>42</v>
      </c>
      <c r="H5" t="n">
        <v>11</v>
      </c>
      <c r="I5" s="8">
        <f>(G5/F5)*100</f>
        <v/>
      </c>
    </row>
    <row r="6">
      <c r="A6" s="5" t="inlineStr">
        <is>
          <t>HUMN</t>
        </is>
      </c>
      <c r="B6" t="inlineStr">
        <is>
          <t>INTD-299</t>
        </is>
      </c>
      <c r="C6" t="inlineStr">
        <is>
          <t>Internship - Interior Design</t>
        </is>
      </c>
      <c r="D6" s="5" t="inlineStr">
        <is>
          <t>LINC</t>
        </is>
      </c>
      <c r="E6" t="n">
        <v>1</v>
      </c>
      <c r="F6" t="n">
        <v>10</v>
      </c>
      <c r="G6" t="n">
        <v>0</v>
      </c>
      <c r="H6" t="n">
        <v>10</v>
      </c>
      <c r="I6" s="8">
        <f>(G6/F6)*100</f>
        <v/>
      </c>
    </row>
    <row r="7">
      <c r="A7" s="5" t="inlineStr">
        <is>
          <t>HUMN</t>
        </is>
      </c>
      <c r="B7" t="inlineStr">
        <is>
          <t>MUTC-102</t>
        </is>
      </c>
      <c r="C7" t="inlineStr">
        <is>
          <t>Pro Tools® II</t>
        </is>
      </c>
      <c r="D7" s="5" t="inlineStr">
        <is>
          <t>LINC</t>
        </is>
      </c>
      <c r="E7" t="n">
        <v>1</v>
      </c>
      <c r="F7" t="n">
        <v>15</v>
      </c>
      <c r="G7" t="n">
        <v>10</v>
      </c>
      <c r="H7" t="n">
        <v>5</v>
      </c>
      <c r="I7" s="8">
        <f>(G7/F7)*100</f>
        <v/>
      </c>
    </row>
    <row r="8">
      <c r="A8" s="5" t="inlineStr">
        <is>
          <t>STEM</t>
        </is>
      </c>
      <c r="B8" t="inlineStr">
        <is>
          <t>AUTO-299</t>
        </is>
      </c>
      <c r="C8" t="inlineStr">
        <is>
          <t>Automotive Internship</t>
        </is>
      </c>
      <c r="D8" s="5" t="inlineStr">
        <is>
          <t>LINC</t>
        </is>
      </c>
      <c r="E8" t="n">
        <v>2</v>
      </c>
      <c r="F8" t="n">
        <v>14</v>
      </c>
      <c r="G8" t="n">
        <v>0</v>
      </c>
      <c r="H8" t="n">
        <v>14</v>
      </c>
      <c r="I8" s="10">
        <f>(G8/F8)*100</f>
        <v/>
      </c>
    </row>
    <row r="9">
      <c r="A9" s="5" t="inlineStr">
        <is>
          <t>STEM</t>
        </is>
      </c>
      <c r="B9" t="inlineStr">
        <is>
          <t>CHEM-116</t>
        </is>
      </c>
      <c r="C9" t="inlineStr">
        <is>
          <t>Chemistry in Life</t>
        </is>
      </c>
      <c r="D9" s="5" t="inlineStr">
        <is>
          <t>DE</t>
        </is>
      </c>
      <c r="E9" t="n">
        <v>1</v>
      </c>
      <c r="F9" t="n">
        <v>22</v>
      </c>
      <c r="G9" t="n">
        <v>1</v>
      </c>
      <c r="H9" t="n">
        <v>21</v>
      </c>
      <c r="I9" s="8">
        <f>(G9/F9)*100</f>
        <v/>
      </c>
    </row>
    <row r="10">
      <c r="A10" s="5" t="inlineStr">
        <is>
          <t>STEM</t>
        </is>
      </c>
      <c r="B10" t="inlineStr">
        <is>
          <t>ENVR-107</t>
        </is>
      </c>
      <c r="C10" t="inlineStr">
        <is>
          <t>Environmental Science</t>
        </is>
      </c>
      <c r="D10" s="5" t="inlineStr">
        <is>
          <t>DE</t>
        </is>
      </c>
      <c r="E10" t="n">
        <v>1</v>
      </c>
      <c r="F10" t="n">
        <v>24</v>
      </c>
      <c r="G10" t="n">
        <v>3</v>
      </c>
      <c r="H10" t="n">
        <v>21</v>
      </c>
      <c r="I10" s="9">
        <f>(G10/F10)*100</f>
        <v/>
      </c>
    </row>
    <row r="11">
      <c r="A11" s="5" t="inlineStr">
        <is>
          <t>STEM</t>
        </is>
      </c>
      <c r="B11" t="inlineStr">
        <is>
          <t>MATH-145</t>
        </is>
      </c>
      <c r="C11" t="inlineStr">
        <is>
          <t>Algebraic Modeling</t>
        </is>
      </c>
      <c r="D11" s="5" t="inlineStr">
        <is>
          <t>DE</t>
        </is>
      </c>
      <c r="E11" t="n">
        <v>1</v>
      </c>
      <c r="F11" t="n">
        <v>25</v>
      </c>
      <c r="G11" t="n">
        <v>1</v>
      </c>
      <c r="H11" t="n">
        <v>24</v>
      </c>
      <c r="I11" s="10">
        <f>(G11/F11)*100</f>
        <v/>
      </c>
    </row>
    <row r="12">
      <c r="A12" s="5" t="inlineStr">
        <is>
          <t>STEM</t>
        </is>
      </c>
      <c r="B12" t="inlineStr">
        <is>
          <t>MATH-153</t>
        </is>
      </c>
      <c r="C12" t="inlineStr">
        <is>
          <t>Pre-Calculus Mathematics</t>
        </is>
      </c>
      <c r="D12" s="5" t="inlineStr">
        <is>
          <t>LINC</t>
        </is>
      </c>
      <c r="E12" t="n">
        <v>1</v>
      </c>
      <c r="F12" t="n">
        <v>30</v>
      </c>
      <c r="G12" t="n">
        <v>14</v>
      </c>
      <c r="H12" t="n">
        <v>16</v>
      </c>
      <c r="I12" s="9">
        <f>(G12/F12)*100</f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7"/>
  <sheetViews>
    <sheetView workbookViewId="0">
      <selection activeCell="A1" sqref="A1"/>
    </sheetView>
  </sheetViews>
  <sheetFormatPr baseColWidth="8" defaultRowHeight="14.5"/>
  <cols>
    <col width="8.7265625" customWidth="1" style="5" min="1" max="2"/>
    <col width="18.81640625" bestFit="1" customWidth="1" min="3" max="3"/>
    <col width="9" customWidth="1" min="4" max="4"/>
    <col width="30.36328125" bestFit="1" customWidth="1" min="5" max="5"/>
    <col width="8.7265625" customWidth="1" style="4" min="8" max="8"/>
    <col width="19.54296875" customWidth="1" style="5" min="10" max="10"/>
    <col width="19.54296875" customWidth="1" min="11" max="11"/>
    <col width="20.6328125" customWidth="1" style="5" min="12" max="12"/>
    <col width="20.6328125" customWidth="1" style="4" min="13" max="13"/>
    <col width="20.6328125" customWidth="1" min="14" max="14"/>
    <col width="14.08984375" customWidth="1" style="5" min="15" max="15"/>
    <col width="23.7265625" customWidth="1" min="16" max="16"/>
    <col width="8.7265625" customWidth="1" style="4" min="17" max="17"/>
    <col width="12.81640625" customWidth="1" min="18" max="18"/>
    <col width="8.7265625" customWidth="1" min="19" max="19"/>
    <col width="12.81640625" customWidth="1" min="20" max="20"/>
  </cols>
  <sheetData>
    <row r="1" ht="28.5" customHeight="1">
      <c r="A1" s="1" t="inlineStr">
        <is>
          <t>Institute</t>
        </is>
      </c>
      <c r="B1" s="1" t="inlineStr">
        <is>
          <t>Location</t>
        </is>
      </c>
      <c r="C1" s="1" t="inlineStr">
        <is>
          <t>Section</t>
        </is>
      </c>
      <c r="D1" s="1" t="inlineStr">
        <is>
          <t>Course</t>
        </is>
      </c>
      <c r="E1" s="1" t="inlineStr">
        <is>
          <t>Course Title</t>
        </is>
      </c>
      <c r="F1" s="1" t="inlineStr">
        <is>
          <t>Capacity</t>
        </is>
      </c>
      <c r="G1" s="1" t="inlineStr">
        <is>
          <t>Enrolled Students</t>
        </is>
      </c>
      <c r="H1" s="1" t="inlineStr">
        <is>
          <t>Section Fill %</t>
        </is>
      </c>
      <c r="I1" s="1" t="inlineStr">
        <is>
          <t>Avail Seats</t>
        </is>
      </c>
      <c r="J1" s="1" t="inlineStr">
        <is>
          <t>Section Start Time</t>
        </is>
      </c>
      <c r="K1" s="1" t="inlineStr">
        <is>
          <t>Section End Time</t>
        </is>
      </c>
      <c r="L1" s="1" t="inlineStr">
        <is>
          <t>Start Block</t>
        </is>
      </c>
      <c r="M1" s="1" t="inlineStr">
        <is>
          <t>Meeting Days</t>
        </is>
      </c>
      <c r="N1" s="1" t="inlineStr">
        <is>
          <t>Room</t>
        </is>
      </c>
      <c r="O1" s="1" t="inlineStr">
        <is>
          <t>Total Student Credit Hours</t>
        </is>
      </c>
      <c r="P1" s="1" t="inlineStr">
        <is>
          <t>Instructor</t>
        </is>
      </c>
      <c r="Q1" s="1" t="inlineStr">
        <is>
          <t>Term</t>
        </is>
      </c>
      <c r="R1" s="1" t="inlineStr">
        <is>
          <t>Wait List</t>
        </is>
      </c>
      <c r="S1" s="12" t="inlineStr">
        <is>
          <t>Course Credit</t>
        </is>
      </c>
      <c r="T1" s="12" t="inlineStr">
        <is>
          <t>Maximum Course SCH</t>
        </is>
      </c>
    </row>
    <row r="2">
      <c r="A2" s="13" t="inlineStr">
        <is>
          <t>STEM</t>
        </is>
      </c>
      <c r="B2" s="13" t="inlineStr">
        <is>
          <t>LINC</t>
        </is>
      </c>
      <c r="C2" s="14" t="inlineStr">
        <is>
          <t>AUTO-299-250RL</t>
        </is>
      </c>
      <c r="D2" s="14" t="inlineStr">
        <is>
          <t>AUTO-299</t>
        </is>
      </c>
      <c r="E2" s="14" t="inlineStr">
        <is>
          <t>Automotive Internship</t>
        </is>
      </c>
      <c r="F2" s="14" t="n">
        <v>5</v>
      </c>
      <c r="G2" s="14" t="n">
        <v>0</v>
      </c>
      <c r="H2" s="15" t="n">
        <v>0</v>
      </c>
      <c r="I2" s="14" t="n">
        <v>5</v>
      </c>
      <c r="J2" s="13" t="inlineStr"/>
      <c r="K2" s="13" t="inlineStr"/>
      <c r="L2" s="14" t="n"/>
      <c r="M2" s="13" t="inlineStr"/>
      <c r="N2" s="13" t="inlineStr"/>
      <c r="O2" s="15" t="n">
        <v>0</v>
      </c>
      <c r="P2" s="14" t="n"/>
      <c r="Q2" s="13" t="inlineStr">
        <is>
          <t>26FA7B</t>
        </is>
      </c>
      <c r="R2" s="14" t="n">
        <v>0</v>
      </c>
      <c r="S2" s="15" t="n">
        <v>1</v>
      </c>
      <c r="T2" s="15">
        <f>(F2*S2)</f>
        <v/>
      </c>
    </row>
    <row r="3">
      <c r="A3" s="13" t="inlineStr">
        <is>
          <t>STEM</t>
        </is>
      </c>
      <c r="B3" s="13" t="inlineStr">
        <is>
          <t>LINC</t>
        </is>
      </c>
      <c r="C3" s="14" t="inlineStr">
        <is>
          <t>AUTO-299-251GL</t>
        </is>
      </c>
      <c r="D3" s="14" t="inlineStr">
        <is>
          <t>AUTO-299</t>
        </is>
      </c>
      <c r="E3" s="14" t="inlineStr">
        <is>
          <t>Automotive Internship</t>
        </is>
      </c>
      <c r="F3" s="14" t="n">
        <v>9</v>
      </c>
      <c r="G3" s="14" t="n">
        <v>0</v>
      </c>
      <c r="H3" s="15" t="n">
        <v>0</v>
      </c>
      <c r="I3" s="14" t="n">
        <v>9</v>
      </c>
      <c r="J3" s="13" t="inlineStr"/>
      <c r="K3" s="13" t="inlineStr"/>
      <c r="L3" s="14" t="n"/>
      <c r="M3" s="13" t="inlineStr"/>
      <c r="N3" s="13" t="inlineStr"/>
      <c r="O3" s="15" t="n">
        <v>0</v>
      </c>
      <c r="P3" s="14" t="n"/>
      <c r="Q3" s="13" t="inlineStr">
        <is>
          <t>26FA7B</t>
        </is>
      </c>
      <c r="R3" s="14" t="n">
        <v>0</v>
      </c>
      <c r="S3" s="15" t="n">
        <v>1</v>
      </c>
      <c r="T3" s="15">
        <f>(F3*S3)</f>
        <v/>
      </c>
    </row>
    <row r="4">
      <c r="A4" s="13" t="inlineStr">
        <is>
          <t>STEM</t>
        </is>
      </c>
      <c r="B4" s="13" t="inlineStr">
        <is>
          <t>DE</t>
        </is>
      </c>
      <c r="C4" s="14" t="inlineStr">
        <is>
          <t>CHEM-116-DE01L</t>
        </is>
      </c>
      <c r="D4" s="14" t="inlineStr">
        <is>
          <t>CHEM-116</t>
        </is>
      </c>
      <c r="E4" s="14" t="inlineStr">
        <is>
          <t>Chemistry in Life</t>
        </is>
      </c>
      <c r="F4" s="14" t="n">
        <v>22</v>
      </c>
      <c r="G4" s="14" t="n">
        <v>1</v>
      </c>
      <c r="H4" s="15" t="n">
        <v>4.5</v>
      </c>
      <c r="I4" s="14" t="n">
        <v>21</v>
      </c>
      <c r="J4" s="13" t="inlineStr"/>
      <c r="K4" s="13" t="inlineStr"/>
      <c r="L4" s="14" t="n"/>
      <c r="M4" s="13" t="inlineStr"/>
      <c r="N4" s="13" t="inlineStr"/>
      <c r="O4" s="15" t="n">
        <v>4</v>
      </c>
      <c r="P4" s="14" t="inlineStr">
        <is>
          <t>Riley, T</t>
        </is>
      </c>
      <c r="Q4" s="13" t="inlineStr">
        <is>
          <t>26FA7B</t>
        </is>
      </c>
      <c r="R4" s="14" t="n">
        <v>0</v>
      </c>
      <c r="S4" s="15" t="n">
        <v>4</v>
      </c>
      <c r="T4" s="15">
        <f>(F4*S4)</f>
        <v/>
      </c>
    </row>
    <row r="5">
      <c r="A5" s="13" t="inlineStr">
        <is>
          <t>EAI</t>
        </is>
      </c>
      <c r="B5" s="13" t="inlineStr">
        <is>
          <t>DE</t>
        </is>
      </c>
      <c r="C5" s="14" t="inlineStr">
        <is>
          <t>CINE-105-DE01L</t>
        </is>
      </c>
      <c r="D5" s="14" t="inlineStr">
        <is>
          <t>CINE-105</t>
        </is>
      </c>
      <c r="E5" s="14" t="inlineStr">
        <is>
          <t>Film Appreciation</t>
        </is>
      </c>
      <c r="F5" s="14" t="n">
        <v>30</v>
      </c>
      <c r="G5" s="14" t="n">
        <v>1</v>
      </c>
      <c r="H5" s="15" t="n">
        <v>3.3</v>
      </c>
      <c r="I5" s="14" t="n">
        <v>29</v>
      </c>
      <c r="J5" s="13" t="inlineStr"/>
      <c r="K5" s="13" t="inlineStr"/>
      <c r="L5" s="14" t="n"/>
      <c r="M5" s="13" t="inlineStr"/>
      <c r="N5" s="13" t="inlineStr"/>
      <c r="O5" s="15" t="n">
        <v>3</v>
      </c>
      <c r="P5" s="14" t="inlineStr">
        <is>
          <t>Montemorano, M</t>
        </is>
      </c>
      <c r="Q5" s="13" t="inlineStr">
        <is>
          <t>26FA7B</t>
        </is>
      </c>
      <c r="R5" s="14" t="n">
        <v>0</v>
      </c>
      <c r="S5" s="15" t="n">
        <v>3</v>
      </c>
      <c r="T5" s="15">
        <f>(F5*S5)</f>
        <v/>
      </c>
    </row>
    <row r="6">
      <c r="A6" s="13" t="inlineStr">
        <is>
          <t>STEM</t>
        </is>
      </c>
      <c r="B6" s="13" t="inlineStr">
        <is>
          <t>DE</t>
        </is>
      </c>
      <c r="C6" s="14" t="inlineStr">
        <is>
          <t>ENVR-107-DE01L</t>
        </is>
      </c>
      <c r="D6" s="14" t="inlineStr">
        <is>
          <t>ENVR-107</t>
        </is>
      </c>
      <c r="E6" s="14" t="inlineStr">
        <is>
          <t>Environmental Science</t>
        </is>
      </c>
      <c r="F6" s="14" t="n">
        <v>24</v>
      </c>
      <c r="G6" s="14" t="n">
        <v>3</v>
      </c>
      <c r="H6" s="15" t="n">
        <v>12.5</v>
      </c>
      <c r="I6" s="14" t="n">
        <v>21</v>
      </c>
      <c r="J6" s="13" t="inlineStr"/>
      <c r="K6" s="13" t="inlineStr"/>
      <c r="L6" s="14" t="n"/>
      <c r="M6" s="13" t="inlineStr"/>
      <c r="N6" s="13" t="inlineStr"/>
      <c r="O6" s="15" t="n">
        <v>12</v>
      </c>
      <c r="P6" s="14" t="inlineStr">
        <is>
          <t>Goulet, J</t>
        </is>
      </c>
      <c r="Q6" s="13" t="inlineStr">
        <is>
          <t>26FA7B</t>
        </is>
      </c>
      <c r="R6" s="14" t="n">
        <v>0</v>
      </c>
      <c r="S6" s="15" t="n">
        <v>4</v>
      </c>
      <c r="T6" s="15">
        <f>(F6*S6)</f>
        <v/>
      </c>
    </row>
    <row r="7">
      <c r="A7" s="13" t="inlineStr">
        <is>
          <t>HUMN</t>
        </is>
      </c>
      <c r="B7" s="13" t="inlineStr">
        <is>
          <t>LINC</t>
        </is>
      </c>
      <c r="C7" s="14" t="inlineStr">
        <is>
          <t>ESL-012-250SL</t>
        </is>
      </c>
      <c r="D7" s="14" t="inlineStr">
        <is>
          <t>ESL-012</t>
        </is>
      </c>
      <c r="E7" s="14" t="inlineStr">
        <is>
          <t>Academic ESL II</t>
        </is>
      </c>
      <c r="F7" s="14" t="n">
        <v>18</v>
      </c>
      <c r="G7" s="14" t="n">
        <v>6</v>
      </c>
      <c r="H7" s="15" t="n">
        <v>33.3</v>
      </c>
      <c r="I7" s="14" t="n">
        <v>12</v>
      </c>
      <c r="J7" s="13" t="inlineStr">
        <is>
          <t xml:space="preserve"> 10:00 AM</t>
        </is>
      </c>
      <c r="K7" s="13" t="inlineStr">
        <is>
          <t xml:space="preserve"> 12:45 PM</t>
        </is>
      </c>
      <c r="L7" s="14" t="n"/>
      <c r="M7" s="13" t="inlineStr">
        <is>
          <t>M W</t>
        </is>
      </c>
      <c r="N7" s="13" t="inlineStr">
        <is>
          <t>MAC 212</t>
        </is>
      </c>
      <c r="O7" s="15" t="n">
        <v>18</v>
      </c>
      <c r="P7" s="14" t="inlineStr">
        <is>
          <t>DeBlasio, D</t>
        </is>
      </c>
      <c r="Q7" s="13" t="inlineStr">
        <is>
          <t>26FA7B</t>
        </is>
      </c>
      <c r="R7" s="14" t="n">
        <v>0</v>
      </c>
      <c r="S7" s="15" t="n">
        <v>3</v>
      </c>
      <c r="T7" s="15">
        <f>(F7*S7)</f>
        <v/>
      </c>
    </row>
    <row r="8">
      <c r="A8" s="13" t="inlineStr">
        <is>
          <t>HUMN</t>
        </is>
      </c>
      <c r="B8" s="13" t="inlineStr">
        <is>
          <t>LINC</t>
        </is>
      </c>
      <c r="C8" s="14" t="inlineStr">
        <is>
          <t>ESL-012-251SL</t>
        </is>
      </c>
      <c r="D8" s="14" t="inlineStr">
        <is>
          <t>ESL-012</t>
        </is>
      </c>
      <c r="E8" s="14" t="inlineStr">
        <is>
          <t>Academic ESL II</t>
        </is>
      </c>
      <c r="F8" s="14" t="n">
        <v>18</v>
      </c>
      <c r="G8" s="14" t="n">
        <v>17</v>
      </c>
      <c r="H8" s="15" t="n">
        <v>94.40000000000001</v>
      </c>
      <c r="I8" s="14" t="n">
        <v>1</v>
      </c>
      <c r="J8" s="13" t="inlineStr">
        <is>
          <t xml:space="preserve"> 10:00 AM</t>
        </is>
      </c>
      <c r="K8" s="13" t="inlineStr">
        <is>
          <t xml:space="preserve"> 12:45 PM</t>
        </is>
      </c>
      <c r="L8" s="14" t="n"/>
      <c r="M8" s="13" t="inlineStr">
        <is>
          <t>M W</t>
        </is>
      </c>
      <c r="N8" s="13" t="inlineStr">
        <is>
          <t>LAH 228</t>
        </is>
      </c>
      <c r="O8" s="15" t="n">
        <v>51</v>
      </c>
      <c r="P8" s="14" t="inlineStr">
        <is>
          <t>Bono, A</t>
        </is>
      </c>
      <c r="Q8" s="13" t="inlineStr">
        <is>
          <t>26FA7B</t>
        </is>
      </c>
      <c r="R8" s="14" t="n">
        <v>0</v>
      </c>
      <c r="S8" s="15" t="n">
        <v>3</v>
      </c>
      <c r="T8" s="15">
        <f>(F8*S8)</f>
        <v/>
      </c>
    </row>
    <row r="9">
      <c r="A9" s="13" t="inlineStr">
        <is>
          <t>HUMN</t>
        </is>
      </c>
      <c r="B9" s="13" t="inlineStr">
        <is>
          <t>LINC</t>
        </is>
      </c>
      <c r="C9" s="14" t="inlineStr">
        <is>
          <t>ESL-012-252SL</t>
        </is>
      </c>
      <c r="D9" s="14" t="inlineStr">
        <is>
          <t>ESL-012</t>
        </is>
      </c>
      <c r="E9" s="14" t="inlineStr">
        <is>
          <t>Academic ESL II</t>
        </is>
      </c>
      <c r="F9" s="14" t="n">
        <v>18</v>
      </c>
      <c r="G9" s="14" t="n">
        <v>8</v>
      </c>
      <c r="H9" s="15" t="n">
        <v>44.4</v>
      </c>
      <c r="I9" s="14" t="n">
        <v>10</v>
      </c>
      <c r="J9" s="13" t="inlineStr">
        <is>
          <t xml:space="preserve"> 6:00 PM</t>
        </is>
      </c>
      <c r="K9" s="13" t="inlineStr">
        <is>
          <t xml:space="preserve"> 8:45 PM</t>
        </is>
      </c>
      <c r="L9" s="14" t="n"/>
      <c r="M9" s="13" t="inlineStr">
        <is>
          <t>M W</t>
        </is>
      </c>
      <c r="N9" s="13" t="inlineStr">
        <is>
          <t>ATC 224</t>
        </is>
      </c>
      <c r="O9" s="15" t="n">
        <v>24</v>
      </c>
      <c r="P9" s="14" t="inlineStr">
        <is>
          <t>Lobo-Chan, H</t>
        </is>
      </c>
      <c r="Q9" s="13" t="inlineStr">
        <is>
          <t>26FA7B</t>
        </is>
      </c>
      <c r="R9" s="14" t="n">
        <v>0</v>
      </c>
      <c r="S9" s="15" t="n">
        <v>3</v>
      </c>
      <c r="T9" s="15">
        <f>(F9*S9)</f>
        <v/>
      </c>
    </row>
    <row r="10">
      <c r="A10" s="13" t="inlineStr">
        <is>
          <t>HUMN</t>
        </is>
      </c>
      <c r="B10" s="13" t="inlineStr">
        <is>
          <t>LINC</t>
        </is>
      </c>
      <c r="C10" s="14" t="inlineStr">
        <is>
          <t>ESL-022-250SL</t>
        </is>
      </c>
      <c r="D10" s="14" t="inlineStr">
        <is>
          <t>ESL-022</t>
        </is>
      </c>
      <c r="E10" s="14" t="inlineStr">
        <is>
          <t>Academic Intermediate ESL II</t>
        </is>
      </c>
      <c r="F10" s="14" t="n">
        <v>16</v>
      </c>
      <c r="G10" s="14" t="n">
        <v>17</v>
      </c>
      <c r="H10" s="15" t="n">
        <v>106.2</v>
      </c>
      <c r="I10" s="14" t="n">
        <v>0</v>
      </c>
      <c r="J10" s="13" t="inlineStr">
        <is>
          <t xml:space="preserve"> 10:00 AM</t>
        </is>
      </c>
      <c r="K10" s="13" t="inlineStr">
        <is>
          <t xml:space="preserve"> 12:45 PM</t>
        </is>
      </c>
      <c r="L10" s="14" t="n"/>
      <c r="M10" s="13" t="inlineStr">
        <is>
          <t>M W</t>
        </is>
      </c>
      <c r="N10" s="13" t="inlineStr">
        <is>
          <t>LAH 129</t>
        </is>
      </c>
      <c r="O10" s="15" t="n">
        <v>51</v>
      </c>
      <c r="P10" s="14" t="inlineStr">
        <is>
          <t>Morris, L</t>
        </is>
      </c>
      <c r="Q10" s="13" t="inlineStr">
        <is>
          <t>26FA7B</t>
        </is>
      </c>
      <c r="R10" s="14" t="n">
        <v>3</v>
      </c>
      <c r="S10" s="15" t="n">
        <v>3</v>
      </c>
      <c r="T10" s="15">
        <f>(F10*S10)</f>
        <v/>
      </c>
    </row>
    <row r="11">
      <c r="A11" s="13" t="inlineStr">
        <is>
          <t>HUMN</t>
        </is>
      </c>
      <c r="B11" s="13" t="inlineStr">
        <is>
          <t>LINC</t>
        </is>
      </c>
      <c r="C11" s="14" t="inlineStr">
        <is>
          <t>ESL-022-251SL</t>
        </is>
      </c>
      <c r="D11" s="14" t="inlineStr">
        <is>
          <t>ESL-022</t>
        </is>
      </c>
      <c r="E11" s="14" t="inlineStr">
        <is>
          <t>Academic Intermediate ESL II</t>
        </is>
      </c>
      <c r="F11" s="14" t="n">
        <v>18</v>
      </c>
      <c r="G11" s="14" t="n">
        <v>9</v>
      </c>
      <c r="H11" s="15" t="n">
        <v>50</v>
      </c>
      <c r="I11" s="14" t="n">
        <v>9</v>
      </c>
      <c r="J11" s="13" t="inlineStr">
        <is>
          <t xml:space="preserve"> 10:00 AM</t>
        </is>
      </c>
      <c r="K11" s="13" t="inlineStr">
        <is>
          <t xml:space="preserve"> 12:45 PM</t>
        </is>
      </c>
      <c r="L11" s="14" t="n"/>
      <c r="M11" s="13" t="inlineStr">
        <is>
          <t>M W</t>
        </is>
      </c>
      <c r="N11" s="13" t="inlineStr">
        <is>
          <t>MAC 214</t>
        </is>
      </c>
      <c r="O11" s="15" t="n">
        <v>27</v>
      </c>
      <c r="P11" s="14" t="inlineStr">
        <is>
          <t>Shupe, E</t>
        </is>
      </c>
      <c r="Q11" s="13" t="inlineStr">
        <is>
          <t>26FA7B</t>
        </is>
      </c>
      <c r="R11" s="14" t="n">
        <v>0</v>
      </c>
      <c r="S11" s="15" t="n">
        <v>3</v>
      </c>
      <c r="T11" s="15">
        <f>(F11*S11)</f>
        <v/>
      </c>
    </row>
    <row r="12">
      <c r="A12" s="13" t="inlineStr">
        <is>
          <t>HUMN</t>
        </is>
      </c>
      <c r="B12" s="13" t="inlineStr">
        <is>
          <t>LINC</t>
        </is>
      </c>
      <c r="C12" s="14" t="inlineStr">
        <is>
          <t>ESL-022-252SL</t>
        </is>
      </c>
      <c r="D12" s="14" t="inlineStr">
        <is>
          <t>ESL-022</t>
        </is>
      </c>
      <c r="E12" s="14" t="inlineStr">
        <is>
          <t>Academic Intermediate ESL II</t>
        </is>
      </c>
      <c r="F12" s="14" t="n">
        <v>18</v>
      </c>
      <c r="G12" s="14" t="n">
        <v>16</v>
      </c>
      <c r="H12" s="15" t="n">
        <v>88.90000000000001</v>
      </c>
      <c r="I12" s="14" t="n">
        <v>2</v>
      </c>
      <c r="J12" s="13" t="inlineStr">
        <is>
          <t xml:space="preserve"> 6:00 PM</t>
        </is>
      </c>
      <c r="K12" s="13" t="inlineStr">
        <is>
          <t xml:space="preserve"> 8:45 PM</t>
        </is>
      </c>
      <c r="L12" s="14" t="n"/>
      <c r="M12" s="13" t="inlineStr">
        <is>
          <t>M W</t>
        </is>
      </c>
      <c r="N12" s="13" t="inlineStr">
        <is>
          <t>ATC 220</t>
        </is>
      </c>
      <c r="O12" s="15" t="n">
        <v>48</v>
      </c>
      <c r="P12" s="14" t="n"/>
      <c r="Q12" s="13" t="inlineStr">
        <is>
          <t>26FA7B</t>
        </is>
      </c>
      <c r="R12" s="14" t="n">
        <v>0</v>
      </c>
      <c r="S12" s="15" t="n">
        <v>3</v>
      </c>
      <c r="T12" s="15">
        <f>(F12*S12)</f>
        <v/>
      </c>
    </row>
    <row r="13">
      <c r="A13" s="13" t="inlineStr">
        <is>
          <t>HUMN</t>
        </is>
      </c>
      <c r="B13" s="13" t="inlineStr">
        <is>
          <t>LINC</t>
        </is>
      </c>
      <c r="C13" s="14" t="inlineStr">
        <is>
          <t>INTD-299-250RL</t>
        </is>
      </c>
      <c r="D13" s="14" t="inlineStr">
        <is>
          <t>INTD-299</t>
        </is>
      </c>
      <c r="E13" s="14" t="inlineStr">
        <is>
          <t>Internship - Interior Design</t>
        </is>
      </c>
      <c r="F13" s="14" t="n">
        <v>10</v>
      </c>
      <c r="G13" s="14" t="n">
        <v>0</v>
      </c>
      <c r="H13" s="15" t="n">
        <v>0</v>
      </c>
      <c r="I13" s="14" t="n">
        <v>10</v>
      </c>
      <c r="J13" s="13" t="inlineStr"/>
      <c r="K13" s="13" t="inlineStr"/>
      <c r="L13" s="14" t="n"/>
      <c r="M13" s="13" t="inlineStr"/>
      <c r="N13" s="13" t="inlineStr"/>
      <c r="O13" s="15" t="n">
        <v>0</v>
      </c>
      <c r="P13" s="14" t="n"/>
      <c r="Q13" s="13" t="inlineStr">
        <is>
          <t>26FA7B</t>
        </is>
      </c>
      <c r="R13" s="14" t="n">
        <v>0</v>
      </c>
      <c r="S13" s="15" t="n">
        <v>1</v>
      </c>
      <c r="T13" s="15">
        <f>(F13*S13)</f>
        <v/>
      </c>
    </row>
    <row r="14">
      <c r="A14" s="13" t="inlineStr">
        <is>
          <t>STEM</t>
        </is>
      </c>
      <c r="B14" s="13" t="inlineStr">
        <is>
          <t>DE</t>
        </is>
      </c>
      <c r="C14" s="14" t="inlineStr">
        <is>
          <t>MATH-145-DE01L</t>
        </is>
      </c>
      <c r="D14" s="14" t="inlineStr">
        <is>
          <t>MATH-145</t>
        </is>
      </c>
      <c r="E14" s="14" t="inlineStr">
        <is>
          <t>Algebraic Modeling</t>
        </is>
      </c>
      <c r="F14" s="14" t="n">
        <v>25</v>
      </c>
      <c r="G14" s="14" t="n">
        <v>1</v>
      </c>
      <c r="H14" s="15" t="n">
        <v>4</v>
      </c>
      <c r="I14" s="14" t="n">
        <v>24</v>
      </c>
      <c r="J14" s="13" t="inlineStr"/>
      <c r="K14" s="13" t="inlineStr"/>
      <c r="L14" s="14" t="n"/>
      <c r="M14" s="13" t="inlineStr"/>
      <c r="N14" s="13" t="inlineStr"/>
      <c r="O14" s="15" t="n">
        <v>4</v>
      </c>
      <c r="P14" s="14" t="inlineStr">
        <is>
          <t>Sekyi, P</t>
        </is>
      </c>
      <c r="Q14" s="13" t="inlineStr">
        <is>
          <t>26FA7B</t>
        </is>
      </c>
      <c r="R14" s="14" t="n">
        <v>0</v>
      </c>
      <c r="S14" s="15" t="n">
        <v>4</v>
      </c>
      <c r="T14" s="15">
        <f>(F14*S14)</f>
        <v/>
      </c>
    </row>
    <row r="15">
      <c r="A15" s="13" t="inlineStr">
        <is>
          <t>STEM</t>
        </is>
      </c>
      <c r="B15" s="13" t="inlineStr">
        <is>
          <t>LINC</t>
        </is>
      </c>
      <c r="C15" s="14" t="inlineStr">
        <is>
          <t>MATH-153-250ML</t>
        </is>
      </c>
      <c r="D15" s="14" t="inlineStr">
        <is>
          <t>MATH-153</t>
        </is>
      </c>
      <c r="E15" s="14" t="inlineStr">
        <is>
          <t>Pre-Calculus Mathematics</t>
        </is>
      </c>
      <c r="F15" s="14" t="n">
        <v>30</v>
      </c>
      <c r="G15" s="14" t="n">
        <v>14</v>
      </c>
      <c r="H15" s="15" t="n">
        <v>46.7</v>
      </c>
      <c r="I15" s="14" t="n">
        <v>16</v>
      </c>
      <c r="J15" s="13" t="inlineStr">
        <is>
          <t xml:space="preserve"> 9:00 AM</t>
        </is>
      </c>
      <c r="K15" s="13" t="inlineStr">
        <is>
          <t xml:space="preserve"> 11:45 AM</t>
        </is>
      </c>
      <c r="L15" s="14" t="n"/>
      <c r="M15" s="13" t="inlineStr">
        <is>
          <t>T TH</t>
        </is>
      </c>
      <c r="N15" s="13" t="inlineStr">
        <is>
          <t>MAC 210</t>
        </is>
      </c>
      <c r="O15" s="15" t="n">
        <v>56</v>
      </c>
      <c r="P15" s="14" t="inlineStr">
        <is>
          <t>Lopez, D</t>
        </is>
      </c>
      <c r="Q15" s="13" t="inlineStr">
        <is>
          <t>26FA7B</t>
        </is>
      </c>
      <c r="R15" s="14" t="n">
        <v>0</v>
      </c>
      <c r="S15" s="15" t="n">
        <v>4</v>
      </c>
      <c r="T15" s="15">
        <f>(F15*S15)</f>
        <v/>
      </c>
    </row>
    <row r="16">
      <c r="A16" s="13" t="inlineStr">
        <is>
          <t>BUSS</t>
        </is>
      </c>
      <c r="B16" s="13" t="inlineStr">
        <is>
          <t>DE</t>
        </is>
      </c>
      <c r="C16" s="14" t="inlineStr">
        <is>
          <t>MRKT-101-DE01L</t>
        </is>
      </c>
      <c r="D16" s="14" t="inlineStr">
        <is>
          <t>MRKT-101</t>
        </is>
      </c>
      <c r="E16" s="14" t="inlineStr">
        <is>
          <t>Intro. to Marketing</t>
        </is>
      </c>
      <c r="F16" s="14" t="n">
        <v>30</v>
      </c>
      <c r="G16" s="14" t="n">
        <v>2</v>
      </c>
      <c r="H16" s="15" t="n">
        <v>6.7</v>
      </c>
      <c r="I16" s="14" t="n">
        <v>28</v>
      </c>
      <c r="J16" s="13" t="inlineStr"/>
      <c r="K16" s="13" t="inlineStr"/>
      <c r="L16" s="14" t="n"/>
      <c r="M16" s="13" t="inlineStr"/>
      <c r="N16" s="13" t="inlineStr"/>
      <c r="O16" s="15" t="n">
        <v>6</v>
      </c>
      <c r="P16" s="14" t="n"/>
      <c r="Q16" s="13" t="inlineStr">
        <is>
          <t>26FA7B</t>
        </is>
      </c>
      <c r="R16" s="14" t="n">
        <v>0</v>
      </c>
      <c r="S16" s="15" t="n">
        <v>3</v>
      </c>
      <c r="T16" s="15">
        <f>(F16*S16)</f>
        <v/>
      </c>
    </row>
    <row r="17">
      <c r="A17" s="13" t="inlineStr">
        <is>
          <t>HUMN</t>
        </is>
      </c>
      <c r="B17" s="13" t="inlineStr">
        <is>
          <t>LINC</t>
        </is>
      </c>
      <c r="C17" s="14" t="inlineStr">
        <is>
          <t>MUTC-102-250RL</t>
        </is>
      </c>
      <c r="D17" s="14" t="inlineStr">
        <is>
          <t>MUTC-102</t>
        </is>
      </c>
      <c r="E17" s="14" t="inlineStr">
        <is>
          <t>Pro Tools® II</t>
        </is>
      </c>
      <c r="F17" s="14" t="n">
        <v>15</v>
      </c>
      <c r="G17" s="14" t="n">
        <v>10</v>
      </c>
      <c r="H17" s="15" t="n">
        <v>66.7</v>
      </c>
      <c r="I17" s="14" t="n">
        <v>5</v>
      </c>
      <c r="J17" s="13" t="inlineStr">
        <is>
          <t xml:space="preserve"> 3:00 PM</t>
        </is>
      </c>
      <c r="K17" s="13" t="inlineStr">
        <is>
          <t xml:space="preserve"> 5:45 PM</t>
        </is>
      </c>
      <c r="L17" s="14" t="n"/>
      <c r="M17" s="13" t="inlineStr">
        <is>
          <t>M W</t>
        </is>
      </c>
      <c r="N17" s="13" t="inlineStr">
        <is>
          <t>ATC 019</t>
        </is>
      </c>
      <c r="O17" s="15" t="n">
        <v>30</v>
      </c>
      <c r="P17" s="14" t="inlineStr">
        <is>
          <t>Slater, F</t>
        </is>
      </c>
      <c r="Q17" s="13" t="inlineStr">
        <is>
          <t>26FA7B</t>
        </is>
      </c>
      <c r="R17" s="14" t="n">
        <v>0</v>
      </c>
      <c r="S17" s="15" t="n">
        <v>3</v>
      </c>
      <c r="T17" s="15">
        <f>(F17*S17)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Laura Longo</dc:creator>
  <dcterms:created xsi:type="dcterms:W3CDTF">2026-05-14T22:47:03Z</dcterms:created>
  <dcterms:modified xsi:type="dcterms:W3CDTF">2026-08-31T13:12:20Z</dcterms:modified>
  <cp:lastModifiedBy>Laura Longo</cp:lastModifiedBy>
</cp:coreProperties>
</file>